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643778039b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 Companies" sheetId="1" r:id="Rbdb2698fdd834484"/>
    <x:sheet xmlns:r="http://schemas.openxmlformats.org/officeDocument/2006/relationships" name="Summary" sheetId="2" r:id="Rcadacbffd8cb4e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2e31ad9f14be7" /><Relationship Type="http://schemas.openxmlformats.org/officeDocument/2006/relationships/theme" Target="/xl/theme/theme1.xml" Id="Re22d63444f9243df" /><Relationship Type="http://schemas.openxmlformats.org/officeDocument/2006/relationships/sharedStrings" Target="/xl/sharedStrings.xml" Id="Rfcdc93dff99d4b19" /><Relationship Type="http://schemas.openxmlformats.org/officeDocument/2006/relationships/worksheet" Target="/xl/worksheets/sheet1.xml" Id="Rbdb2698fdd834484" /><Relationship Type="http://schemas.openxmlformats.org/officeDocument/2006/relationships/worksheet" Target="/xl/worksheets/sheet2.xml" Id="Rcadacbffd8cb4e2b" /></Relationships>
</file>

<file path=xl/tables/table1.xml><?xml version="1.0" encoding="utf-8"?>
<x:table xmlns:x="http://schemas.openxmlformats.org/spreadsheetml/2006/main" id="1" name="TargetCompaniesTable" displayName="TargetCompaniesTable" ref="A1:AA27" headerRowCount="1">
  <x:tableColumns count="27">
    <x:tableColumn id="1" name="Company Name"/>
    <x:tableColumn id="2" name="Website"/>
    <x:tableColumn id="3" name="City"/>
    <x:tableColumn id="4" name="Segment"/>
    <x:tableColumn id="5" name="What They Make"/>
    <x:tableColumn id="6" name="Revenue Band"/>
    <x:tableColumn id="7" name="Decision Maker"/>
    <x:tableColumn id="8" name="DM Title"/>
    <x:tableColumn id="9" name="DM Background"/>
    <x:tableColumn id="10" name="C1 Manufacturer Score"/>
    <x:tableColumn id="11" name="C1 Evidence"/>
    <x:tableColumn id="12" name="C2 India Score"/>
    <x:tableColumn id="13" name="C2 Evidence"/>
    <x:tableColumn id="14" name="C3 Differentiation Score"/>
    <x:tableColumn id="15" name="C3 Evidence"/>
    <x:tableColumn id="16" name="C4 Tech DM Score"/>
    <x:tableColumn id="17" name="C4 Evidence"/>
    <x:tableColumn id="18" name="C5 Tailwind Score"/>
    <x:tableColumn id="19" name="C5 Evidence"/>
    <x:tableColumn id="20" name="C6 Growth Score"/>
    <x:tableColumn id="21" name="C6 Evidence"/>
    <x:tableColumn id="22" name="Federer Score"/>
    <x:tableColumn id="23" name="Score Band"/>
    <x:tableColumn id="24" name="Verdict"/>
    <x:tableColumn id="25" name="Verdict Reasoning"/>
    <x:tableColumn id="26" name="Personalization Hook"/>
    <x:tableColumn id="27" name="Evidence Sourc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9317b58d03467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18" hidden="0" customWidth="1"/>
    <x:col min="4" max="4" width="28" hidden="0" customWidth="1"/>
    <x:col min="5" max="5" width="42" hidden="0" customWidth="1"/>
    <x:col min="6" max="6" width="18" hidden="0" customWidth="1"/>
    <x:col min="7" max="7" width="20" hidden="0" customWidth="1"/>
    <x:col min="8" max="8" width="22" hidden="0" customWidth="1"/>
    <x:col min="9" max="9" width="38" hidden="0" customWidth="1"/>
    <x:col min="10" max="10" width="16" hidden="0" customWidth="1"/>
    <x:col min="11" max="11" width="45" hidden="0" customWidth="1"/>
    <x:col min="12" max="12" width="14" hidden="0" customWidth="1"/>
    <x:col min="13" max="13" width="30" hidden="0" customWidth="1"/>
    <x:col min="14" max="14" width="18" hidden="0" customWidth="1"/>
    <x:col min="15" max="15" width="45" hidden="0" customWidth="1"/>
    <x:col min="16" max="16" width="15" hidden="0" customWidth="1"/>
    <x:col min="17" max="17" width="38" hidden="0" customWidth="1"/>
    <x:col min="18" max="18" width="14" hidden="0" customWidth="1"/>
    <x:col min="19" max="19" width="38" hidden="0" customWidth="1"/>
    <x:col min="20" max="20" width="15" hidden="0" customWidth="1"/>
    <x:col min="21" max="21" width="45" hidden="0" customWidth="1"/>
    <x:col min="22" max="22" width="12" hidden="0" customWidth="1"/>
    <x:col min="23" max="23" width="18" hidden="0" customWidth="1"/>
    <x:col min="24" max="24" width="18" hidden="0" customWidth="1"/>
    <x:col min="25" max="25" width="45" hidden="0" customWidth="1"/>
    <x:col min="26" max="26" width="45" hidden="0" customWidth="1"/>
    <x:col min="27" max="27" width="60" hidden="0" customWidth="1"/>
  </x:cols>
  <x:sheetData>
    <x:row r="1">
      <x:c r="A1" s="14" t="str">
        <x:v>Company Name</x:v>
      </x:c>
      <x:c r="B1" s="14" t="str">
        <x:v>Website</x:v>
      </x:c>
      <x:c r="C1" s="14" t="str">
        <x:v>City</x:v>
      </x:c>
      <x:c r="D1" s="14" t="str">
        <x:v>Segment</x:v>
      </x:c>
      <x:c r="E1" s="14" t="str">
        <x:v>What They Make</x:v>
      </x:c>
      <x:c r="F1" s="14" t="str">
        <x:v>Revenue Band</x:v>
      </x:c>
      <x:c r="G1" s="14" t="str">
        <x:v>Decision Maker</x:v>
      </x:c>
      <x:c r="H1" s="14" t="str">
        <x:v>DM Title</x:v>
      </x:c>
      <x:c r="I1" s="14" t="str">
        <x:v>DM Background</x:v>
      </x:c>
      <x:c r="J1" s="14" t="str">
        <x:v>C1 Manufacturer Score</x:v>
      </x:c>
      <x:c r="K1" s="14" t="str">
        <x:v>C1 Evidence</x:v>
      </x:c>
      <x:c r="L1" s="14" t="str">
        <x:v>C2 India Score</x:v>
      </x:c>
      <x:c r="M1" s="14" t="str">
        <x:v>C2 Evidence</x:v>
      </x:c>
      <x:c r="N1" s="14" t="str">
        <x:v>C3 Differentiation Score</x:v>
      </x:c>
      <x:c r="O1" s="14" t="str">
        <x:v>C3 Evidence</x:v>
      </x:c>
      <x:c r="P1" s="14" t="str">
        <x:v>C4 Tech DM Score</x:v>
      </x:c>
      <x:c r="Q1" s="14" t="str">
        <x:v>C4 Evidence</x:v>
      </x:c>
      <x:c r="R1" s="14" t="str">
        <x:v>C5 Tailwind Score</x:v>
      </x:c>
      <x:c r="S1" s="14" t="str">
        <x:v>C5 Evidence</x:v>
      </x:c>
      <x:c r="T1" s="14" t="str">
        <x:v>C6 Growth Score</x:v>
      </x:c>
      <x:c r="U1" s="14" t="str">
        <x:v>C6 Evidence</x:v>
      </x:c>
      <x:c r="V1" s="14" t="str">
        <x:v>Federer Score</x:v>
      </x:c>
      <x:c r="W1" s="14" t="str">
        <x:v>Score Band</x:v>
      </x:c>
      <x:c r="X1" s="14" t="str">
        <x:v>Verdict</x:v>
      </x:c>
      <x:c r="Y1" s="14" t="str">
        <x:v>Verdict Reasoning</x:v>
      </x:c>
      <x:c r="Z1" s="14" t="str">
        <x:v>Personalization Hook</x:v>
      </x:c>
      <x:c r="AA1" s="14" t="str">
        <x:v>Evidence Sources</x:v>
      </x:c>
    </x:row>
    <x:row r="2">
      <x:c r="A2" s="15" t="str">
        <x:v>Chemcon Speciality Chemicals</x:v>
      </x:c>
      <x:c r="B2" s="15" t="str">
        <x:v>https://www.cscpl.com</x:v>
      </x:c>
      <x:c r="C2" s="15" t="str">
        <x:v>Vadodara</x:v>
      </x:c>
      <x:c r="D2" s="15" t="str">
        <x:v>Custom synthesis &amp; specialty chemicals</x:v>
      </x:c>
      <x:c r="E2" s="15" t="str">
        <x:v>Pharmaceutical intermediates and oilfield completion chemicals such as CMIC/HMDS and bromides</x:v>
      </x:c>
      <x:c r="F2" s="15" t="str">
        <x:v>Rs.100-300Cr</x:v>
      </x:c>
      <x:c r="G2" s="15" t="str">
        <x:v>Kamal Aggarwal</x:v>
      </x:c>
      <x:c r="H2" s="15" t="str">
        <x:v>Chairman &amp; MD</x:v>
      </x:c>
      <x:c r="I2" s="15" t="str">
        <x:v>Founder/promoter; specialty chemicals entrepreneur with long operating experience</x:v>
      </x:c>
      <x:c r="J2" s="15" t="str">
        <x:v>Strong</x:v>
      </x:c>
      <x:c r="K2" s="15" t="str">
        <x:v>Manufactures specialty chemicals in own facilities for pharma and oilfield customers</x:v>
      </x:c>
      <x:c r="L2" s="15" t="str">
        <x:v>Strong</x:v>
      </x:c>
      <x:c r="M2" s="15" t="str">
        <x:v>Registered/operational base in Vadodara, Gujarat</x:v>
      </x:c>
      <x:c r="N2" s="15" t="str">
        <x:v>Strong</x:v>
      </x:c>
      <x:c r="O2" s="15" t="str">
        <x:v>Niche products: HMDS/CMIC and oilfield bromides; export-facing specialty chemistry</x:v>
      </x:c>
      <x:c r="P2" s="15" t="str">
        <x:v>Moderate</x:v>
      </x:c>
      <x:c r="Q2" s="15" t="str">
        <x:v>Promoter-led; technical operating team visible, but public technical credentials limited</x:v>
      </x:c>
      <x:c r="R2" s="15" t="str">
        <x:v>Strong</x:v>
      </x:c>
      <x:c r="S2" s="15" t="str">
        <x:v>Specialty chemicals benefit from China+1, pharma outsourcing and oilfield import substitution</x:v>
      </x:c>
      <x:c r="T2" s="15" t="str">
        <x:v>Strong</x:v>
      </x:c>
      <x:c r="U2" s="15" t="str">
        <x:v>Public company filings show ongoing operations, exports and listed-company disclosures; active website/news presence</x:v>
      </x:c>
      <x:c r="V2" s="15" t="str">
        <x:v>90</x:v>
      </x:c>
      <x:c r="W2" s="15" t="str">
        <x:v>A — Strong Federer</x:v>
      </x:c>
      <x:c r="X2" s="15" t="str">
        <x:v>Strong fit</x:v>
      </x:c>
      <x:c r="Y2" s="15" t="str">
        <x:v>Promoter-led Vadodara specialty chemical manufacturer with niche pharma/oilfield products and public growth visibility</x:v>
      </x:c>
      <x:c r="Z2" s="15" t="str">
        <x:v>Vadodara company making HMDS/CMIC plus oilfield bromides — a clear niche, not commodity trading</x:v>
      </x:c>
      <x:c r="AA2" s="15" t="str">
        <x:v>https://www.cscpl.com; https://beststartup.in/19-vadodara-based-chemical-companies-the-most-innovative-chemical-companies/</x:v>
      </x:c>
    </x:row>
    <x:row r="3">
      <x:c r="A3" s="15" t="str">
        <x:v>Ami Lifesciences</x:v>
      </x:c>
      <x:c r="B3" s="15" t="str">
        <x:v>https://www.amilifesciences.com</x:v>
      </x:c>
      <x:c r="C3" s="15" t="str">
        <x:v>Vadodara</x:v>
      </x:c>
      <x:c r="D3" s="15" t="str">
        <x:v>Custom synthesis &amp; specialty chemicals</x:v>
      </x:c>
      <x:c r="E3" s="15" t="str">
        <x:v>Pharmaceutical intermediates, APIs/intermediates and custom synthesis molecules</x:v>
      </x:c>
      <x:c r="F3" s="15" t="str">
        <x:v>Rs.100-300Cr estimate</x:v>
      </x:c>
      <x:c r="G3" s="15" t="str">
        <x:v>N/A</x:v>
      </x:c>
      <x:c r="H3" s="15" t="str">
        <x:v>Promoter/Management</x:v>
      </x:c>
      <x:c r="I3" s="15" t="str">
        <x:v>Promoter-led company; detailed DM credentials not fully public</x:v>
      </x:c>
      <x:c r="J3" s="15" t="str">
        <x:v>Strong</x:v>
      </x:c>
      <x:c r="K3" s="15" t="str">
        <x:v>Website positions the company as manufacturer with facilities and product portfolio</x:v>
      </x:c>
      <x:c r="L3" s="15" t="str">
        <x:v>Strong</x:v>
      </x:c>
      <x:c r="M3" s="15" t="str">
        <x:v>Vadodara registered office/operations; Gujarat manufacturing presence</x:v>
      </x:c>
      <x:c r="N3" s="15" t="str">
        <x:v>Strong</x:v>
      </x:c>
      <x:c r="O3" s="15" t="str">
        <x:v>Pharma intermediates/custom synthesis with regulatory and process chemistry depth</x:v>
      </x:c>
      <x:c r="P3" s="15" t="str">
        <x:v>Moderate</x:v>
      </x:c>
      <x:c r="Q3" s="15" t="str">
        <x:v>Technical team visible, but founder education not fully findable from open sources</x:v>
      </x:c>
      <x:c r="R3" s="15" t="str">
        <x:v>Strong</x:v>
      </x:c>
      <x:c r="S3" s="15" t="str">
        <x:v>China+1 and pharma outsourcing tailwinds for Indian intermediates</x:v>
      </x:c>
      <x:c r="T3" s="15" t="str">
        <x:v>Moderate</x:v>
      </x:c>
      <x:c r="U3" s="15" t="str">
        <x:v>Active website and export/product portfolio; limited recent expansion proof in open sources</x:v>
      </x:c>
      <x:c r="V3" s="15" t="str">
        <x:v>80</x:v>
      </x:c>
      <x:c r="W3" s="15" t="str">
        <x:v>A — Strong Federer</x:v>
      </x:c>
      <x:c r="X3" s="15" t="str">
        <x:v>Strong fit with DM caveat</x:v>
      </x:c>
      <x:c r="Y3" s="15" t="str">
        <x:v>Good specialty pharma-intermediate manufacturer; needs final DM validation from LinkedIn/MCA</x:v>
      </x:c>
      <x:c r="Z3" s="15" t="str">
        <x:v>Long-running Vadodara pharma-intermediate maker with custom synthesis positioning</x:v>
      </x:c>
      <x:c r="AA3" s="15" t="str">
        <x:v>https://www.amilifesciences.com; https://www.zaubacorp.com/AMI-LIFESCIENCES-PVT-LTD-U24110GJ1994PTC021470</x:v>
      </x:c>
    </x:row>
    <x:row r="4">
      <x:c r="A4" s="15" t="str">
        <x:v>Annexe Chem</x:v>
      </x:c>
      <x:c r="B4" s="15" t="str">
        <x:v>https://annexechem.com</x:v>
      </x:c>
      <x:c r="C4" s="15" t="str">
        <x:v>Vadodara</x:v>
      </x:c>
      <x:c r="D4" s="15" t="str">
        <x:v>Custom synthesis &amp; specialty chemicals</x:v>
      </x:c>
      <x:c r="E4" s="15" t="str">
        <x:v>Fine chemicals, APIs, excipients, food additives and preservatives in multiple pharmacopeial grades</x:v>
      </x:c>
      <x:c r="F4" s="15" t="str">
        <x:v>Rs.50-100Cr estimate</x:v>
      </x:c>
      <x:c r="G4" s="15" t="str">
        <x:v>N/A</x:v>
      </x:c>
      <x:c r="H4" s="15" t="str">
        <x:v>Management</x:v>
      </x:c>
      <x:c r="I4" s="15" t="str">
        <x:v>Founder/technical background not fully public</x:v>
      </x:c>
      <x:c r="J4" s="15" t="str">
        <x:v>Strong</x:v>
      </x:c>
      <x:c r="K4" s="15" t="str">
        <x:v>States it is a manufacturer, supplier and exporter with state-of-the-art facilities</x:v>
      </x:c>
      <x:c r="L4" s="15" t="str">
        <x:v>Strong</x:v>
      </x:c>
      <x:c r="M4" s="15" t="str">
        <x:v>Based in Vadodara, India</x:v>
      </x:c>
      <x:c r="N4" s="15" t="str">
        <x:v>Moderate</x:v>
      </x:c>
      <x:c r="O4" s="15" t="str">
        <x:v>Product range is technical, but open evidence of patents/R&amp;D is limited</x:v>
      </x:c>
      <x:c r="P4" s="15" t="str">
        <x:v>Moderate</x:v>
      </x:c>
      <x:c r="Q4" s="15" t="str">
        <x:v>Likely technical operating team; named technical founder not verified</x:v>
      </x:c>
      <x:c r="R4" s="15" t="str">
        <x:v>Strong</x:v>
      </x:c>
      <x:c r="S4" s="15" t="str">
        <x:v>Pharma/cosmetic fine chemicals have export and import-substitution tailwinds</x:v>
      </x:c>
      <x:c r="T4" s="15" t="str">
        <x:v>Moderate</x:v>
      </x:c>
      <x:c r="U4" s="15" t="str">
        <x:v>Active website; proof of recent hiring/facility limited</x:v>
      </x:c>
      <x:c r="V4" s="15" t="str">
        <x:v>70</x:v>
      </x:c>
      <x:c r="W4" s="15" t="str">
        <x:v>B — Probable Federer</x:v>
      </x:c>
      <x:c r="X4" s="15" t="str">
        <x:v>Fit</x:v>
      </x:c>
      <x:c r="Y4" s="15" t="str">
        <x:v>Useful prospect but lower confidence until revenue and technical DM are verified</x:v>
      </x:c>
      <x:c r="Z4" s="15" t="str">
        <x:v>Vadodara manufacturer offering LR/AR/ACS/IP/BP/USP/EP/JP/Food grades across fine chemicals</x:v>
      </x:c>
      <x:c r="AA4" s="15" t="str">
        <x:v>https://annexechem.com/</x:v>
      </x:c>
    </x:row>
    <x:row r="5">
      <x:c r="A5" s="15" t="str">
        <x:v>Sun Speciality Chemicals</x:v>
      </x:c>
      <x:c r="B5" s="15" t="str">
        <x:v>https://www.sunspeciality.com</x:v>
      </x:c>
      <x:c r="C5" s="15" t="str">
        <x:v>Vadodara</x:v>
      </x:c>
      <x:c r="D5" s="15" t="str">
        <x:v>Performance chemicals</x:v>
      </x:c>
      <x:c r="E5" s="15" t="str">
        <x:v>Specialty chemicals for coating, ink, paint, plastic/rubber and allied industrial applications</x:v>
      </x:c>
      <x:c r="F5" s="15" t="str">
        <x:v>Rs.50-100Cr estimate</x:v>
      </x:c>
      <x:c r="G5" s="15" t="str">
        <x:v>N/A</x:v>
      </x:c>
      <x:c r="H5" s="15" t="str">
        <x:v>Directors/KMP</x:v>
      </x:c>
      <x:c r="I5" s="15" t="str">
        <x:v>Zauba shows 7 KMP/directors; technical background needs manual validation</x:v>
      </x:c>
      <x:c r="J5" s="15" t="str">
        <x:v>Strong</x:v>
      </x:c>
      <x:c r="K5" s="15" t="str">
        <x:v>MCA/Zauba lists operating private manufacturer; website/product portfolio indicates chemical production</x:v>
      </x:c>
      <x:c r="L5" s="15" t="str">
        <x:v>Strong</x:v>
      </x:c>
      <x:c r="M5" s="15" t="str">
        <x:v>Registered office in Vadodara, Gujarat</x:v>
      </x:c>
      <x:c r="N5" s="15" t="str">
        <x:v>Moderate</x:v>
      </x:c>
      <x:c r="O5" s="15" t="str">
        <x:v>Specialty formulation/product portfolio, but patent/regulatory evidence limited</x:v>
      </x:c>
      <x:c r="P5" s="15" t="str">
        <x:v>Moderate</x:v>
      </x:c>
      <x:c r="Q5" s="15" t="str">
        <x:v>Promoter/management-led; technical DM not fully verified</x:v>
      </x:c>
      <x:c r="R5" s="15" t="str">
        <x:v>Moderate</x:v>
      </x:c>
      <x:c r="S5" s="15" t="str">
        <x:v>Performance chemicals are stable/growth segment but no specific PLI signal</x:v>
      </x:c>
      <x:c r="T5" s="15" t="str">
        <x:v>Moderate</x:v>
      </x:c>
      <x:c r="U5" s="15" t="str">
        <x:v>Long-running 28-year company; recent public growth signals limited</x:v>
      </x:c>
      <x:c r="V5" s="15" t="str">
        <x:v>65</x:v>
      </x:c>
      <x:c r="W5" s="15" t="str">
        <x:v>B — Probable Federer</x:v>
      </x:c>
      <x:c r="X5" s="15" t="str">
        <x:v>Fit / verify</x:v>
      </x:c>
      <x:c r="Y5" s="15" t="str">
        <x:v>Private specialty chemical manufacturer; include after DM and revenue validation</x:v>
      </x:c>
      <x:c r="Z5" s="15" t="str">
        <x:v>28-year Vadodara specialty chemicals company with multiple KMPs and industrial product portfolio</x:v>
      </x:c>
      <x:c r="AA5" s="15" t="str">
        <x:v>https://www.zaubacorp.com/SUN-SPECIALITY-CHEMICALS-PRIVATE-LIMITED-U24119GJ1997PTC031528</x:v>
      </x:c>
    </x:row>
    <x:row r="6">
      <x:c r="A6" s="15" t="str">
        <x:v>Best Value Chem</x:v>
      </x:c>
      <x:c r="B6" s="15" t="str">
        <x:v>https://www.bestvaluechem.com</x:v>
      </x:c>
      <x:c r="C6" s="15" t="str">
        <x:v>Vadodara</x:v>
      </x:c>
      <x:c r="D6" s="15" t="str">
        <x:v>Specialty food &amp; nutraceutical ingredients</x:v>
      </x:c>
      <x:c r="E6" s="15" t="str">
        <x:v>Aroma chemicals, fragrance/flavour ingredients, personal care and pharma specialty chemicals</x:v>
      </x:c>
      <x:c r="F6" s="15" t="str">
        <x:v>Rs.300-500Cr estimate / borderline</x:v>
      </x:c>
      <x:c r="G6" s="15" t="str">
        <x:v>N/A</x:v>
      </x:c>
      <x:c r="H6" s="15" t="str">
        <x:v>Management</x:v>
      </x:c>
      <x:c r="I6" s="15" t="str">
        <x:v>Technical background not fully public</x:v>
      </x:c>
      <x:c r="J6" s="15" t="str">
        <x:v>Strong</x:v>
      </x:c>
      <x:c r="K6" s="15" t="str">
        <x:v>Two production plants near Vadodara reported; manufactures aroma/specialty chemicals</x:v>
      </x:c>
      <x:c r="L6" s="15" t="str">
        <x:v>Strong</x:v>
      </x:c>
      <x:c r="M6" s="15" t="str">
        <x:v>Based in Vadodara, Gujarat</x:v>
      </x:c>
      <x:c r="N6" s="15" t="str">
        <x:v>Strong</x:v>
      </x:c>
      <x:c r="O6" s="15" t="str">
        <x:v>Aroma chemicals/fragrance ingredients are differentiated and export-heavy</x:v>
      </x:c>
      <x:c r="P6" s="15" t="str">
        <x:v>Moderate</x:v>
      </x:c>
      <x:c r="Q6" s="15" t="str">
        <x:v>Management/founder technical background requires validation</x:v>
      </x:c>
      <x:c r="R6" s="15" t="str">
        <x:v>Strong</x:v>
      </x:c>
      <x:c r="S6" s="15" t="str">
        <x:v>Exports and specialty ingredients benefit from global supply-chain diversification</x:v>
      </x:c>
      <x:c r="T6" s="15" t="str">
        <x:v>Strong</x:v>
      </x:c>
      <x:c r="U6" s="15" t="str">
        <x:v>Profile reports two plants and ~80% exports; employee base and active profile</x:v>
      </x:c>
      <x:c r="V6" s="15" t="str">
        <x:v>85</x:v>
      </x:c>
      <x:c r="W6" s="15" t="str">
        <x:v>A — Strong Federer</x:v>
      </x:c>
      <x:c r="X6" s="15" t="str">
        <x:v>Strong fit, revenue must be checked</x:v>
      </x:c>
      <x:c r="Y6" s="15" t="str">
        <x:v>High-quality prospect but confirm current revenue below Rs.500Cr before outreach</x:v>
      </x:c>
      <x:c r="Z6" s="15" t="str">
        <x:v>Two Vadodara production plants and export-heavy aroma/fragrance chemicals business</x:v>
      </x:c>
      <x:c r="AA6" s="15" t="str">
        <x:v>https://bitscale.ai/directory/best-value-chem-pvt-ltd</x:v>
      </x:c>
    </x:row>
    <x:row r="7">
      <x:c r="A7" s="15" t="str">
        <x:v>Chemol Specialities</x:v>
      </x:c>
      <x:c r="B7" s="15" t="str">
        <x:v>https://www.chemolspecialities.in</x:v>
      </x:c>
      <x:c r="C7" s="15" t="str">
        <x:v>Vadodara</x:v>
      </x:c>
      <x:c r="D7" s="15" t="str">
        <x:v>Custom synthesis &amp; specialty chemicals</x:v>
      </x:c>
      <x:c r="E7" s="15" t="str">
        <x:v>4-methyl catechol, silicone oil and specialty chemical products</x:v>
      </x:c>
      <x:c r="F7" s="15" t="str">
        <x:v>Below Rs.50Cr / small</x:v>
      </x:c>
      <x:c r="G7" s="15" t="str">
        <x:v>Abhijit Maitra</x:v>
      </x:c>
      <x:c r="H7" s="15" t="str">
        <x:v>Founder</x:v>
      </x:c>
      <x:c r="I7" s="15" t="str">
        <x:v>Founder named publicly; technical background not fully published</x:v>
      </x:c>
      <x:c r="J7" s="15" t="str">
        <x:v>Moderate</x:v>
      </x:c>
      <x:c r="K7" s="15" t="str">
        <x:v>Manufacturer/exporter/supplier; very small scale per public turnover</x:v>
      </x:c>
      <x:c r="L7" s="15" t="str">
        <x:v>Strong</x:v>
      </x:c>
      <x:c r="M7" s="15" t="str">
        <x:v>Vadodara, Gujarat</x:v>
      </x:c>
      <x:c r="N7" s="15" t="str">
        <x:v>Moderate</x:v>
      </x:c>
      <x:c r="O7" s="15" t="str">
        <x:v>Some niche chemicals, but scale and IP evidence limited</x:v>
      </x:c>
      <x:c r="P7" s="15" t="str">
        <x:v>Moderate</x:v>
      </x:c>
      <x:c r="Q7" s="15" t="str">
        <x:v>Founder-led; technical qualification not verified</x:v>
      </x:c>
      <x:c r="R7" s="15" t="str">
        <x:v>Moderate</x:v>
      </x:c>
      <x:c r="S7" s="15" t="str">
        <x:v>Specialty chemical niche has stable demand, but company scale is early</x:v>
      </x:c>
      <x:c r="T7" s="15" t="str">
        <x:v>Moderate</x:v>
      </x:c>
      <x:c r="U7" s="15" t="str">
        <x:v>New/active website listing; growth signals limited</x:v>
      </x:c>
      <x:c r="V7" s="15" t="str">
        <x:v>60</x:v>
      </x:c>
      <x:c r="W7" s="15" t="str">
        <x:v>B — Probable Federer / small</x:v>
      </x:c>
      <x:c r="X7" s="15" t="str">
        <x:v>Borderline fit</x:v>
      </x:c>
      <x:c r="Y7" s="15" t="str">
        <x:v>Founder-led specialty manufacturer but likely below target revenue band; keep as emerging prospect</x:v>
      </x:c>
      <x:c r="Z7" s="15" t="str">
        <x:v>Founder-led Vadodara specialty chemical maker with worldwide market coverage but only ~Rs.7Cr turnover listed</x:v>
      </x:c>
      <x:c r="AA7" s="15" t="str">
        <x:v>https://www.chemolspecialities.in/about-us.htm</x:v>
      </x:c>
    </x:row>
    <x:row r="8">
      <x:c r="A8" s="15" t="str">
        <x:v>Goldfinch Speciality Chemicals</x:v>
      </x:c>
      <x:c r="B8" s="15" t="str">
        <x:v>https://goldfinchchemicals.com</x:v>
      </x:c>
      <x:c r="C8" s="15" t="str">
        <x:v>Vadodara</x:v>
      </x:c>
      <x:c r="D8" s="15" t="str">
        <x:v>Performance chemicals</x:v>
      </x:c>
      <x:c r="E8" s="15" t="str">
        <x:v>Speciality chemicals and polymers for industrial applications</x:v>
      </x:c>
      <x:c r="F8" s="15" t="str">
        <x:v>Rs.50-100Cr estimate</x:v>
      </x:c>
      <x:c r="G8" s="15" t="str">
        <x:v>N/A</x:v>
      </x:c>
      <x:c r="H8" s="15" t="str">
        <x:v>Management</x:v>
      </x:c>
      <x:c r="I8" s="15" t="str">
        <x:v>Established by professionals with 25+ years combined experience</x:v>
      </x:c>
      <x:c r="J8" s="15" t="str">
        <x:v>Strong</x:v>
      </x:c>
      <x:c r="K8" s="15" t="str">
        <x:v>States manufacturer, supplier and exporter of specialty chemicals/polymers</x:v>
      </x:c>
      <x:c r="L8" s="15" t="str">
        <x:v>Strong</x:v>
      </x:c>
      <x:c r="M8" s="15" t="str">
        <x:v>Vadodara, Gujarat address</x:v>
      </x:c>
      <x:c r="N8" s="15" t="str">
        <x:v>Moderate</x:v>
      </x:c>
      <x:c r="O8" s="15" t="str">
        <x:v>Tailored speciality chemicals and polymers; patent evidence not public</x:v>
      </x:c>
      <x:c r="P8" s="15" t="str">
        <x:v>Moderate</x:v>
      </x:c>
      <x:c r="Q8" s="15" t="str">
        <x:v>Experienced professional-led; specific scientific pedigree not public</x:v>
      </x:c>
      <x:c r="R8" s="15" t="str">
        <x:v>Moderate</x:v>
      </x:c>
      <x:c r="S8" s="15" t="str">
        <x:v>Performance polymers have steady growth, but not high-regulatory niche</x:v>
      </x:c>
      <x:c r="T8" s="15" t="str">
        <x:v>Moderate</x:v>
      </x:c>
      <x:c r="U8" s="15" t="str">
        <x:v>Active website; limited independent growth proof</x:v>
      </x:c>
      <x:c r="V8" s="15" t="str">
        <x:v>65</x:v>
      </x:c>
      <x:c r="W8" s="15" t="str">
        <x:v>B — Probable Federer</x:v>
      </x:c>
      <x:c r="X8" s="15" t="str">
        <x:v>Fit / verify</x:v>
      </x:c>
      <x:c r="Y8" s="15" t="str">
        <x:v>Good small manufacturer prospect; needs revenue and technical-DM validation</x:v>
      </x:c>
      <x:c r="Z8" s="15" t="str">
        <x:v>Vadodara emerging manufacturer led by professionals with 25+ years specialty chemicals experience</x:v>
      </x:c>
      <x:c r="AA8" s="15" t="str">
        <x:v>https://goldfinchchemicals.com/about-us.html</x:v>
      </x:c>
    </x:row>
    <x:row r="9">
      <x:c r="A9" s="15" t="str">
        <x:v>Aayra Chemicals / Vedansh Life Science</x:v>
      </x:c>
      <x:c r="B9" s="15" t="str">
        <x:v>https://www.aayrachemicals.co.in</x:v>
      </x:c>
      <x:c r="C9" s="15" t="str">
        <x:v>Vadodara</x:v>
      </x:c>
      <x:c r="D9" s="15" t="str">
        <x:v>Custom synthesis &amp; specialty chemicals</x:v>
      </x:c>
      <x:c r="E9" s="15" t="str">
        <x:v>Pharmaceutical intermediates and specialty chemical compounds</x:v>
      </x:c>
      <x:c r="F9" s="15" t="str">
        <x:v>Rs.50-100Cr estimate</x:v>
      </x:c>
      <x:c r="G9" s="15" t="str">
        <x:v>N/A</x:v>
      </x:c>
      <x:c r="H9" s="15" t="str">
        <x:v>Management</x:v>
      </x:c>
      <x:c r="I9" s="15" t="str">
        <x:v>Technical DM not verified</x:v>
      </x:c>
      <x:c r="J9" s="15" t="str">
        <x:v>Strong</x:v>
      </x:c>
      <x:c r="K9" s="15" t="str">
        <x:v>Website states manufacturing of pharmaceutical intermediates and specialty compounds</x:v>
      </x:c>
      <x:c r="L9" s="15" t="str">
        <x:v>Strong</x:v>
      </x:c>
      <x:c r="M9" s="15" t="str">
        <x:v>Vadodara, Gujarat</x:v>
      </x:c>
      <x:c r="N9" s="15" t="str">
        <x:v>Moderate</x:v>
      </x:c>
      <x:c r="O9" s="15" t="str">
        <x:v>Pharma intermediates are technical; IP/regulatory evidence limited</x:v>
      </x:c>
      <x:c r="P9" s="15" t="str">
        <x:v>Moderate</x:v>
      </x:c>
      <x:c r="Q9" s="15" t="str">
        <x:v>Technical credentials not public</x:v>
      </x:c>
      <x:c r="R9" s="15" t="str">
        <x:v>Strong</x:v>
      </x:c>
      <x:c r="S9" s="15" t="str">
        <x:v>Pharma intermediates benefit from China+1 and Indian CDMO tailwinds</x:v>
      </x:c>
      <x:c r="T9" s="15" t="str">
        <x:v>Moderate</x:v>
      </x:c>
      <x:c r="U9" s="15" t="str">
        <x:v>Modern production technology and active website; limited independent signals</x:v>
      </x:c>
      <x:c r="V9" s="15" t="str">
        <x:v>70</x:v>
      </x:c>
      <x:c r="W9" s="15" t="str">
        <x:v>B — Probable Federer</x:v>
      </x:c>
      <x:c r="X9" s="15" t="str">
        <x:v>Fit / verify</x:v>
      </x:c>
      <x:c r="Y9" s="15" t="str">
        <x:v>Potential fit in pharma intermediates; requires deeper revenue/DM verification</x:v>
      </x:c>
      <x:c r="Z9" s="15" t="str">
        <x:v>Vadodara pharma-intermediate manufacturer emphasizing modern production and strict quality control</x:v>
      </x:c>
      <x:c r="AA9" s="15" t="str">
        <x:v>https://www.aayrachemicals.co.in/about-us.htm</x:v>
      </x:c>
    </x:row>
    <x:row r="10">
      <x:c r="A10" s="15" t="str">
        <x:v>STC Polychem</x:v>
      </x:c>
      <x:c r="B10" s="15" t="str">
        <x:v>https://www.zaubacorp.com/STC-POLYCHEM-PRIVATE-LIMITED-U24290GJ2023PTC138580</x:v>
      </x:c>
      <x:c r="C10" s="15" t="str">
        <x:v>Vadodara</x:v>
      </x:c>
      <x:c r="D10" s="15" t="str">
        <x:v>Performance chemicals</x:v>
      </x:c>
      <x:c r="E10" s="15" t="str">
        <x:v>Polymer / specialty chemical products; exact product portfolio requires website validation</x:v>
      </x:c>
      <x:c r="F10" s="15" t="str">
        <x:v>Unknown / early</x:v>
      </x:c>
      <x:c r="G10" s="15" t="str">
        <x:v>Haresh Patel / Mahendra Patel</x:v>
      </x:c>
      <x:c r="H10" s="15" t="str">
        <x:v>Designated/Management</x:v>
      </x:c>
      <x:c r="I10" s="15" t="str">
        <x:v>Promoter details via MCA-style listing; technical background not verified</x:v>
      </x:c>
      <x:c r="J10" s="15" t="str">
        <x:v>Moderate</x:v>
      </x:c>
      <x:c r="K10" s="15" t="str">
        <x:v>Young private company; manufacturing proof needs product-site validation</x:v>
      </x:c>
      <x:c r="L10" s="15" t="str">
        <x:v>Strong</x:v>
      </x:c>
      <x:c r="M10" s="15" t="str">
        <x:v>Registered in Vadodara, Gujarat</x:v>
      </x:c>
      <x:c r="N10" s="15" t="str">
        <x:v>Weak</x:v>
      </x:c>
      <x:c r="O10" s="15" t="str">
        <x:v>Insufficient public evidence of differentiated products</x:v>
      </x:c>
      <x:c r="P10" s="15" t="str">
        <x:v>Moderate</x:v>
      </x:c>
      <x:c r="Q10" s="15" t="str">
        <x:v>Promoter-led, but no technical credentials found</x:v>
      </x:c>
      <x:c r="R10" s="15" t="str">
        <x:v>Moderate</x:v>
      </x:c>
      <x:c r="S10" s="15" t="str">
        <x:v>Performance chemicals segment has demand tailwinds</x:v>
      </x:c>
      <x:c r="T10" s="15" t="str">
        <x:v>Moderate</x:v>
      </x:c>
      <x:c r="U10" s="15" t="str">
        <x:v>Incorporated recently; activity signal but not enough scale proof</x:v>
      </x:c>
      <x:c r="V10" s="15" t="str">
        <x:v>50</x:v>
      </x:c>
      <x:c r="W10" s="15" t="str">
        <x:v>C — Borderline</x:v>
      </x:c>
      <x:c r="X10" s="15" t="str">
        <x:v>Research further</x:v>
      </x:c>
      <x:c r="Y10" s="15" t="str">
        <x:v>Keep in fail/watchlist unless website, revenue and plant are verified</x:v>
      </x:c>
      <x:c r="Z10" s="15" t="str">
        <x:v>New Vadodara polychem company — useful lead but currently low evidence depth</x:v>
      </x:c>
      <x:c r="AA10" s="15" t="str">
        <x:v>https://www.zaubacorp.com/STC-POLYCHEM-PRIVATE-LIMITED-U24290GJ2023PTC138580</x:v>
      </x:c>
    </x:row>
    <x:row r="11">
      <x:c r="A11" s="15" t="str">
        <x:v>Matangi Industries</x:v>
      </x:c>
      <x:c r="B11" s="15" t="str">
        <x:v>https://www.matangiindustries.com</x:v>
      </x:c>
      <x:c r="C11" s="15" t="str">
        <x:v>Ahmedabad</x:v>
      </x:c>
      <x:c r="D11" s="15" t="str">
        <x:v>Performance chemicals</x:v>
      </x:c>
      <x:c r="E11" s="15" t="str">
        <x:v>Ethoxylates, surfactants, textile auxiliaries, agro/formulation specialty chemicals</x:v>
      </x:c>
      <x:c r="F11" s="15" t="str">
        <x:v>Rs.100-300Cr estimate</x:v>
      </x:c>
      <x:c r="G11" s="15" t="str">
        <x:v>N/A</x:v>
      </x:c>
      <x:c r="H11" s="15" t="str">
        <x:v>Management</x:v>
      </x:c>
      <x:c r="I11" s="15" t="str">
        <x:v>Long-running manufacturer; technical team not fully public</x:v>
      </x:c>
      <x:c r="J11" s="15" t="str">
        <x:v>Strong</x:v>
      </x:c>
      <x:c r="K11" s="15" t="str">
        <x:v>LinkedIn/company presence describes performance &amp; specialty chemicals manufacturer/exporter</x:v>
      </x:c>
      <x:c r="L11" s="15" t="str">
        <x:v>Strong</x:v>
      </x:c>
      <x:c r="M11" s="15" t="str">
        <x:v>Ahmedabad, Gujarat operations</x:v>
      </x:c>
      <x:c r="N11" s="15" t="str">
        <x:v>Strong</x:v>
      </x:c>
      <x:c r="O11" s="15" t="str">
        <x:v>Surfactants/ethoxylates and application-specific specialty chemicals, exports to 40+ countries</x:v>
      </x:c>
      <x:c r="P11" s="15" t="str">
        <x:v>Moderate</x:v>
      </x:c>
      <x:c r="Q11" s="15" t="str">
        <x:v>Technical leadership likely but founder/MD credentials need verification</x:v>
      </x:c>
      <x:c r="R11" s="15" t="str">
        <x:v>Strong</x:v>
      </x:c>
      <x:c r="S11" s="15" t="str">
        <x:v>Performance chemicals, textile auxiliaries and export specialty segments have tailwinds</x:v>
      </x:c>
      <x:c r="T11" s="15" t="str">
        <x:v>Strong</x:v>
      </x:c>
      <x:c r="U11" s="15" t="str">
        <x:v>312 employees on LinkedIn and exports to 40+ countries; active digital presence</x:v>
      </x:c>
      <x:c r="V11" s="15" t="str">
        <x:v>90</x:v>
      </x:c>
      <x:c r="W11" s="15" t="str">
        <x:v>A — Strong Federer</x:v>
      </x:c>
      <x:c r="X11" s="15" t="str">
        <x:v>Strong fit</x:v>
      </x:c>
      <x:c r="Y11" s="15" t="str">
        <x:v>Strong specialty-chemicals prospect with export scale and non-commodity product lines</x:v>
      </x:c>
      <x:c r="Z11" s="15" t="str">
        <x:v>Ahmedabad performance &amp; specialty chemicals manufacturer exporting to 40+ countries since 1993</x:v>
      </x:c>
      <x:c r="AA11" s="15" t="str">
        <x:v>https://in.linkedin.com/company/matangi-industries</x:v>
      </x:c>
    </x:row>
    <x:row r="12">
      <x:c r="A12" s="15" t="str">
        <x:v>Aahan Chemiex</x:v>
      </x:c>
      <x:c r="B12" s="15" t="str">
        <x:v>https://aahanchem.com</x:v>
      </x:c>
      <x:c r="C12" s="15" t="str">
        <x:v>Ahmedabad</x:v>
      </x:c>
      <x:c r="D12" s="15" t="str">
        <x:v>Performance chemicals</x:v>
      </x:c>
      <x:c r="E12" s="15" t="str">
        <x:v>Specialty chemicals for textile, paper, dairy cleaning, dyes and home care</x:v>
      </x:c>
      <x:c r="F12" s="15" t="str">
        <x:v>Rs.50-100Cr estimate</x:v>
      </x:c>
      <x:c r="G12" s="15" t="str">
        <x:v>N/A</x:v>
      </x:c>
      <x:c r="H12" s="15" t="str">
        <x:v>Founder</x:v>
      </x:c>
      <x:c r="I12" s="15" t="str">
        <x:v>Founder has extensive specialty-chemicals experience; name not prominent on page</x:v>
      </x:c>
      <x:c r="J12" s="15" t="str">
        <x:v>Strong</x:v>
      </x:c>
      <x:c r="K12" s="15" t="str">
        <x:v>Website says manufacturer, supplier and exporter of specialty chemicals</x:v>
      </x:c>
      <x:c r="L12" s="15" t="str">
        <x:v>Strong</x:v>
      </x:c>
      <x:c r="M12" s="15" t="str">
        <x:v>Ahmedabad, Gujarat</x:v>
      </x:c>
      <x:c r="N12" s="15" t="str">
        <x:v>Moderate</x:v>
      </x:c>
      <x:c r="O12" s="15" t="str">
        <x:v>Application-specific formulations; limited patent evidence</x:v>
      </x:c>
      <x:c r="P12" s="15" t="str">
        <x:v>Moderate</x:v>
      </x:c>
      <x:c r="Q12" s="15" t="str">
        <x:v>Founder experience visible but formal technical credential not public</x:v>
      </x:c>
      <x:c r="R12" s="15" t="str">
        <x:v>Moderate</x:v>
      </x:c>
      <x:c r="S12" s="15" t="str">
        <x:v>Textile/paper/home-care specialty chemicals stable; not strongest tailwind</x:v>
      </x:c>
      <x:c r="T12" s="15" t="str">
        <x:v>Strong</x:v>
      </x:c>
      <x:c r="U12" s="15" t="str">
        <x:v>Website content updated 2026; active marketing presence</x:v>
      </x:c>
      <x:c r="V12" s="15" t="str">
        <x:v>70</x:v>
      </x:c>
      <x:c r="W12" s="15" t="str">
        <x:v>B — Probable Federer</x:v>
      </x:c>
      <x:c r="X12" s="15" t="str">
        <x:v>Fit</x:v>
      </x:c>
      <x:c r="Y12" s="15" t="str">
        <x:v>Founder-experience-led manufacturer; needs revenue and plant validation</x:v>
      </x:c>
      <x:c r="Z12" s="15" t="str">
        <x:v>Ahmedabad specialty chemical manufacturer with founder experience across textile, paper, dyes and cleaning segments</x:v>
      </x:c>
      <x:c r="AA12" s="15" t="str">
        <x:v>https://aahanchem.com/about-us/</x:v>
      </x:c>
    </x:row>
    <x:row r="13">
      <x:c r="A13" s="15" t="str">
        <x:v>Aditya Chemicals</x:v>
      </x:c>
      <x:c r="B13" s="15" t="str">
        <x:v>https://www.adityachemicals.com</x:v>
      </x:c>
      <x:c r="C13" s="15" t="str">
        <x:v>Ahmedabad</x:v>
      </x:c>
      <x:c r="D13" s="15" t="str">
        <x:v>Performance chemicals</x:v>
      </x:c>
      <x:c r="E13" s="15" t="str">
        <x:v>Specialty chemicals and industrial chemical products</x:v>
      </x:c>
      <x:c r="F13" s="15" t="str">
        <x:v>Rs.50-100Cr estimate</x:v>
      </x:c>
      <x:c r="G13" s="15" t="str">
        <x:v>N/A</x:v>
      </x:c>
      <x:c r="H13" s="15" t="str">
        <x:v>Management</x:v>
      </x:c>
      <x:c r="I13" s="15" t="str">
        <x:v>Tracxn profile says specialty chemical manufacturer founded in 2010</x:v>
      </x:c>
      <x:c r="J13" s="15" t="str">
        <x:v>Moderate</x:v>
      </x:c>
      <x:c r="K13" s="15" t="str">
        <x:v>Profile identifies company as specialty chemical manufacturer; plant proof requires website validation</x:v>
      </x:c>
      <x:c r="L13" s="15" t="str">
        <x:v>Strong</x:v>
      </x:c>
      <x:c r="M13" s="15" t="str">
        <x:v>Ahmedabad, India</x:v>
      </x:c>
      <x:c r="N13" s="15" t="str">
        <x:v>Moderate</x:v>
      </x:c>
      <x:c r="O13" s="15" t="str">
        <x:v>Specialty products, but technical moat evidence limited</x:v>
      </x:c>
      <x:c r="P13" s="15" t="str">
        <x:v>Moderate</x:v>
      </x:c>
      <x:c r="Q13" s="15" t="str">
        <x:v>Founder/technical DM not found in public sources</x:v>
      </x:c>
      <x:c r="R13" s="15" t="str">
        <x:v>Moderate</x:v>
      </x:c>
      <x:c r="S13" s="15" t="str">
        <x:v>Specialty chemicals demand tailwind</x:v>
      </x:c>
      <x:c r="T13" s="15" t="str">
        <x:v>Moderate</x:v>
      </x:c>
      <x:c r="U13" s="15" t="str">
        <x:v>Founded 2010 and active profile; recent growth signals limited</x:v>
      </x:c>
      <x:c r="V13" s="15" t="str">
        <x:v>60</x:v>
      </x:c>
      <x:c r="W13" s="15" t="str">
        <x:v>B — Probable Federer</x:v>
      </x:c>
      <x:c r="X13" s="15" t="str">
        <x:v>Fit / verify</x:v>
      </x:c>
      <x:c r="Y13" s="15" t="str">
        <x:v>Prospect-level lead, not final high-confidence target without plant/revenue proof</x:v>
      </x:c>
      <x:c r="Z13" s="15" t="str">
        <x:v>Ahmedabad specialty chemical manufacturer founded in 2010</x:v>
      </x:c>
      <x:c r="AA13" s="15" t="str">
        <x:v>https://tracxn.com/d/companies/aditya-chemicals/__2jM20pBgpNEGoHZ2td8vsPaxpbJ_er1RjCBNvFqSQmo</x:v>
      </x:c>
    </x:row>
    <x:row r="14">
      <x:c r="A14" s="15" t="str">
        <x:v>Uday Auxichem</x:v>
      </x:c>
      <x:c r="B14" s="15" t="str">
        <x:v>https://www.udayauxichem.com</x:v>
      </x:c>
      <x:c r="C14" s="15" t="str">
        <x:v>Ahmedabad</x:v>
      </x:c>
      <x:c r="D14" s="15" t="str">
        <x:v>Performance chemicals</x:v>
      </x:c>
      <x:c r="E14" s="15" t="str">
        <x:v>Textile auxiliaries, finishing agents and specialty chemical formulations</x:v>
      </x:c>
      <x:c r="F14" s="15" t="str">
        <x:v>Rs.50-100Cr estimate</x:v>
      </x:c>
      <x:c r="G14" s="15" t="str">
        <x:v>Maunang Amin</x:v>
      </x:c>
      <x:c r="H14" s="15" t="str">
        <x:v>Founder &amp; CEO</x:v>
      </x:c>
      <x:c r="I14" s="15" t="str">
        <x:v>Founder/CEO public LinkedIn; technical background not fully public</x:v>
      </x:c>
      <x:c r="J14" s="15" t="str">
        <x:v>Strong</x:v>
      </x:c>
      <x:c r="K14" s="15" t="str">
        <x:v>Auxiliary chemicals are manufactured/formulated for textile/process applications</x:v>
      </x:c>
      <x:c r="L14" s="15" t="str">
        <x:v>Strong</x:v>
      </x:c>
      <x:c r="M14" s="15" t="str">
        <x:v>Ahmedabad, Gujarat</x:v>
      </x:c>
      <x:c r="N14" s="15" t="str">
        <x:v>Moderate</x:v>
      </x:c>
      <x:c r="O14" s="15" t="str">
        <x:v>Application-specific textile chemicals, but no patent evidence found</x:v>
      </x:c>
      <x:c r="P14" s="15" t="str">
        <x:v>Moderate</x:v>
      </x:c>
      <x:c r="Q14" s="15" t="str">
        <x:v>Founder-led; technical education not visible</x:v>
      </x:c>
      <x:c r="R14" s="15" t="str">
        <x:v>Moderate</x:v>
      </x:c>
      <x:c r="S14" s="15" t="str">
        <x:v>Textile processing chemicals are stable, export-linked but not strongest tailwind</x:v>
      </x:c>
      <x:c r="T14" s="15" t="str">
        <x:v>Moderate</x:v>
      </x:c>
      <x:c r="U14" s="15" t="str">
        <x:v>Long-running since 1990; recent activity limited in public sources</x:v>
      </x:c>
      <x:c r="V14" s="15" t="str">
        <x:v>65</x:v>
      </x:c>
      <x:c r="W14" s="15" t="str">
        <x:v>B — Probable Federer</x:v>
      </x:c>
      <x:c r="X14" s="15" t="str">
        <x:v>Fit / verify</x:v>
      </x:c>
      <x:c r="Y14" s="15" t="str">
        <x:v>Founder-led and niche, but needs fresh growth signals</x:v>
      </x:c>
      <x:c r="Z14" s="15" t="str">
        <x:v>Founder-led Ahmedabad textile auxiliaries company running since 1990</x:v>
      </x:c>
      <x:c r="AA14" s="15" t="str">
        <x:v>https://in.linkedin.com/in/maunang-amin-5239b122b</x:v>
      </x:c>
    </x:row>
    <x:row r="15">
      <x:c r="A15" s="15" t="str">
        <x:v>Primarius Custom Synthesis</x:v>
      </x:c>
      <x:c r="B15" s="15" t="str">
        <x:v>https://www.primarius.in</x:v>
      </x:c>
      <x:c r="C15" s="15" t="str">
        <x:v>Ahmedabad</x:v>
      </x:c>
      <x:c r="D15" s="15" t="str">
        <x:v>Custom synthesis &amp; specialty chemicals</x:v>
      </x:c>
      <x:c r="E15" s="15" t="str">
        <x:v>Custom synthesis and contract manufacturing of specialty chemicals/intermediates</x:v>
      </x:c>
      <x:c r="F15" s="15" t="str">
        <x:v>Rs.50-100Cr estimate</x:v>
      </x:c>
      <x:c r="G15" s="15" t="str">
        <x:v>Umesh Desai</x:v>
      </x:c>
      <x:c r="H15" s="15" t="str">
        <x:v>Promoter/Entrepreneur</x:v>
      </x:c>
      <x:c r="I15" s="15" t="str">
        <x:v>Chemicals specialist per LinkedIn; business background visible</x:v>
      </x:c>
      <x:c r="J15" s="15" t="str">
        <x:v>Strong</x:v>
      </x:c>
      <x:c r="K15" s="15" t="str">
        <x:v>Custom synthesis company indicates manufacturing/process chemistry capability</x:v>
      </x:c>
      <x:c r="L15" s="15" t="str">
        <x:v>Strong</x:v>
      </x:c>
      <x:c r="M15" s="15" t="str">
        <x:v>Ahmedabad, Gujarat</x:v>
      </x:c>
      <x:c r="N15" s="15" t="str">
        <x:v>Strong</x:v>
      </x:c>
      <x:c r="O15" s="15" t="str">
        <x:v>Custom synthesis is differentiated by process know-how, route development and customer-specific molecules</x:v>
      </x:c>
      <x:c r="P15" s="15" t="str">
        <x:v>Moderate</x:v>
      </x:c>
      <x:c r="Q15" s="15" t="str">
        <x:v>Promoter has chemical-specialist experience; formal scientific credentials not fully public</x:v>
      </x:c>
      <x:c r="R15" s="15" t="str">
        <x:v>Strong</x:v>
      </x:c>
      <x:c r="S15" s="15" t="str">
        <x:v>Custom synthesis benefits from China+1 and outsourcing tailwinds</x:v>
      </x:c>
      <x:c r="T15" s="15" t="str">
        <x:v>Moderate</x:v>
      </x:c>
      <x:c r="U15" s="15" t="str">
        <x:v>Active company profile; recent expansion not verified</x:v>
      </x:c>
      <x:c r="V15" s="15" t="str">
        <x:v>80</x:v>
      </x:c>
      <x:c r="W15" s="15" t="str">
        <x:v>A — Strong Federer</x:v>
      </x:c>
      <x:c r="X15" s="15" t="str">
        <x:v>Strong fit / verify</x:v>
      </x:c>
      <x:c r="Y15" s="15" t="str">
        <x:v>Good ICP fit in custom synthesis; confirm current revenue and facility</x:v>
      </x:c>
      <x:c r="Z15" s="15" t="str">
        <x:v>Ahmedabad custom synthesis promoter described as chemicals specialist</x:v>
      </x:c>
      <x:c r="AA15" s="15" t="str">
        <x:v>https://in.linkedin.com/in/umesh-desai-87473710</x:v>
      </x:c>
    </x:row>
    <x:row r="16">
      <x:c r="A16" s="15" t="str">
        <x:v>Suntrox Finechem</x:v>
      </x:c>
      <x:c r="B16" s="15" t="str">
        <x:v>https://www.suntroxfinechem.com</x:v>
      </x:c>
      <x:c r="C16" s="15" t="str">
        <x:v>Ahmedabad</x:v>
      </x:c>
      <x:c r="D16" s="15" t="str">
        <x:v>Custom synthesis &amp; specialty chemicals</x:v>
      </x:c>
      <x:c r="E16" s="15" t="str">
        <x:v>Multipurpose specialty chemical manufacturing and custom chemical synthesis</x:v>
      </x:c>
      <x:c r="F16" s="15" t="str">
        <x:v>Rs.50-100Cr estimate</x:v>
      </x:c>
      <x:c r="G16" s="15" t="str">
        <x:v>Shrut Shah</x:v>
      </x:c>
      <x:c r="H16" s="15" t="str">
        <x:v>Founder &amp; CEO</x:v>
      </x:c>
      <x:c r="I16" s="15" t="str">
        <x:v>Founder profile says multipurpose specialty chemical company; background requires more validation</x:v>
      </x:c>
      <x:c r="J16" s="15" t="str">
        <x:v>Strong</x:v>
      </x:c>
      <x:c r="K16" s="15" t="str">
        <x:v>Founder profile describes multipurpose specialty chemical company and scalable custom synthesis</x:v>
      </x:c>
      <x:c r="L16" s="15" t="str">
        <x:v>Strong</x:v>
      </x:c>
      <x:c r="M16" s="15" t="str">
        <x:v>Ahmedabad, Gujarat</x:v>
      </x:c>
      <x:c r="N16" s="15" t="str">
        <x:v>Strong</x:v>
      </x:c>
      <x:c r="O16" s="15" t="str">
        <x:v>Custom synthesis/scalable specialty manufacturing suggests differentiated process capability</x:v>
      </x:c>
      <x:c r="P16" s="15" t="str">
        <x:v>Moderate</x:v>
      </x:c>
      <x:c r="Q16" s="15" t="str">
        <x:v>Founder-led; exact technical credentials not fully public</x:v>
      </x:c>
      <x:c r="R16" s="15" t="str">
        <x:v>Strong</x:v>
      </x:c>
      <x:c r="S16" s="15" t="str">
        <x:v>China+1 tailwind for custom synthesis/specialty chemicals</x:v>
      </x:c>
      <x:c r="T16" s="15" t="str">
        <x:v>Moderate</x:v>
      </x:c>
      <x:c r="U16" s="15" t="str">
        <x:v>Active founder/company digital signals; limited independent expansion proof</x:v>
      </x:c>
      <x:c r="V16" s="15" t="str">
        <x:v>80</x:v>
      </x:c>
      <x:c r="W16" s="15" t="str">
        <x:v>A — Strong Federer</x:v>
      </x:c>
      <x:c r="X16" s="15" t="str">
        <x:v>Strong fit / verify</x:v>
      </x:c>
      <x:c r="Y16" s="15" t="str">
        <x:v>Promising younger custom synthesis prospect; final validation needed</x:v>
      </x:c>
      <x:c r="Z16" s="15" t="str">
        <x:v>Founder-led Ahmedabad multipurpose specialty chemical company focused on scalable custom synthesis</x:v>
      </x:c>
      <x:c r="AA16" s="15" t="str">
        <x:v>https://in.linkedin.com/in/shrut-shah-410021130</x:v>
      </x:c>
    </x:row>
    <x:row r="17">
      <x:c r="A17" s="15" t="str">
        <x:v>Ami Organics</x:v>
      </x:c>
      <x:c r="B17" s="15" t="str">
        <x:v>https://www.amiorganics.com</x:v>
      </x:c>
      <x:c r="C17" s="15" t="str">
        <x:v>Surat / Gujarat</x:v>
      </x:c>
      <x:c r="D17" s="15" t="str">
        <x:v>Custom synthesis &amp; specialty chemicals</x:v>
      </x:c>
      <x:c r="E17" s="15" t="str">
        <x:v>Pharma intermediates and specialty chemicals for regulated end-markets</x:v>
      </x:c>
      <x:c r="F17" s="15" t="str">
        <x:v>Rs.300-500Cr / verify current</x:v>
      </x:c>
      <x:c r="G17" s="15" t="str">
        <x:v>Naresh Patel</x:v>
      </x:c>
      <x:c r="H17" s="15" t="str">
        <x:v>Executive Chairman &amp; MD</x:v>
      </x:c>
      <x:c r="I17" s="15" t="str">
        <x:v>Founder-promoter, chemistry-led business; public company management</x:v>
      </x:c>
      <x:c r="J17" s="15" t="str">
        <x:v>Strong</x:v>
      </x:c>
      <x:c r="K17" s="15" t="str">
        <x:v>Multiple manufacturing facilities; makes advanced pharma intermediates/specialty chemicals</x:v>
      </x:c>
      <x:c r="L17" s="15" t="str">
        <x:v>Strong</x:v>
      </x:c>
      <x:c r="M17" s="15" t="str">
        <x:v>Gujarat HQ/manufacturing presence; outside chosen city but same cluster</x:v>
      </x:c>
      <x:c r="N17" s="15" t="str">
        <x:v>Strong</x:v>
      </x:c>
      <x:c r="O17" s="15" t="str">
        <x:v>Advanced intermediates, regulated customers and R&amp;D chemistry depth</x:v>
      </x:c>
      <x:c r="P17" s="15" t="str">
        <x:v>Strong</x:v>
      </x:c>
      <x:c r="Q17" s="15" t="str">
        <x:v>Promoter-led with technical operating history</x:v>
      </x:c>
      <x:c r="R17" s="15" t="str">
        <x:v>Strong</x:v>
      </x:c>
      <x:c r="S17" s="15" t="str">
        <x:v>Pharma intermediate outsourcing, China+1, export markets</x:v>
      </x:c>
      <x:c r="T17" s="15" t="str">
        <x:v>Strong</x:v>
      </x:c>
      <x:c r="U17" s="15" t="str">
        <x:v>Listed company disclosures, capex and active investor communications</x:v>
      </x:c>
      <x:c r="V17" s="15" t="str">
        <x:v>100</x:v>
      </x:c>
      <x:c r="W17" s="15" t="str">
        <x:v>A — Strong Federer</x:v>
      </x:c>
      <x:c r="X17" s="15" t="str">
        <x:v>Strong fit if city accepted</x:v>
      </x:c>
      <x:c r="Y17" s="15" t="str">
        <x:v>Excellent ICP but outside strict Vadodara/Ahmedabad; keep only if using Gujarat cluster justification</x:v>
      </x:c>
      <x:c r="Z17" s="15" t="str">
        <x:v>Gujarat advanced-intermediate maker built from a 2004 partnership into listed specialty-chemicals company</x:v>
      </x:c>
      <x:c r="AA17" s="15" t="str">
        <x:v>https://www.amiorganics.com; https://www.zaubacorp.com/AMI-ORGANICS-LIMITED-L24100GJ2007PLC051093</x:v>
      </x:c>
    </x:row>
    <x:row r="18">
      <x:c r="A18" s="15" t="str">
        <x:v>Aether Industries</x:v>
      </x:c>
      <x:c r="B18" s="15" t="str">
        <x:v>https://aether.co.in</x:v>
      </x:c>
      <x:c r="C18" s="15" t="str">
        <x:v>Surat / Gujarat</x:v>
      </x:c>
      <x:c r="D18" s="15" t="str">
        <x:v>Custom synthesis &amp; specialty chemicals</x:v>
      </x:c>
      <x:c r="E18" s="15" t="str">
        <x:v>Advanced intermediates and specialty chemicals using complex/differentiated chemistry</x:v>
      </x:c>
      <x:c r="F18" s="15" t="str">
        <x:v>Rs.300-500Cr / verify current</x:v>
      </x:c>
      <x:c r="G18" s="15" t="str">
        <x:v>Ashwin Desai / Aman Desai</x:v>
      </x:c>
      <x:c r="H18" s="15" t="str">
        <x:v>Founder/Promoter leadership</x:v>
      </x:c>
      <x:c r="I18" s="15" t="str">
        <x:v>Scientist/chemist-led public specialty chemical company</x:v>
      </x:c>
      <x:c r="J18" s="15" t="str">
        <x:v>Strong</x:v>
      </x:c>
      <x:c r="K18" s="15" t="str">
        <x:v>Manufactures advanced intermediates and specialty chemicals</x:v>
      </x:c>
      <x:c r="L18" s="15" t="str">
        <x:v>Strong</x:v>
      </x:c>
      <x:c r="M18" s="15" t="str">
        <x:v>Based in Surat, Gujarat</x:v>
      </x:c>
      <x:c r="N18" s="15" t="str">
        <x:v>Strong</x:v>
      </x:c>
      <x:c r="O18" s="15" t="str">
        <x:v>Complex chemistry, technology core competencies, custom synthesis/CRAMS</x:v>
      </x:c>
      <x:c r="P18" s="15" t="str">
        <x:v>Strong</x:v>
      </x:c>
      <x:c r="Q18" s="15" t="str">
        <x:v>Promoter leadership with chemistry/scientific orientation</x:v>
      </x:c>
      <x:c r="R18" s="15" t="str">
        <x:v>Strong</x:v>
      </x:c>
      <x:c r="S18" s="15" t="str">
        <x:v>China+1, pharma/agro/material-science specialty chemicals</x:v>
      </x:c>
      <x:c r="T18" s="15" t="str">
        <x:v>Strong</x:v>
      </x:c>
      <x:c r="U18" s="15" t="str">
        <x:v>Active investor disclosures and manufacturing expansions</x:v>
      </x:c>
      <x:c r="V18" s="15" t="str">
        <x:v>100</x:v>
      </x:c>
      <x:c r="W18" s="15" t="str">
        <x:v>A — Strong Federer</x:v>
      </x:c>
      <x:c r="X18" s="15" t="str">
        <x:v>Strong fit if revenue below threshold</x:v>
      </x:c>
      <x:c r="Y18" s="15" t="str">
        <x:v>High-quality specialty chemistry ICP; confirm FY25 revenue and city scope</x:v>
      </x:c>
      <x:c r="Z18" s="15" t="str">
        <x:v>Surat specialty chemical company focused on complex and differentiated chemistry/technology core competencies</x:v>
      </x:c>
      <x:c r="AA18" s="15" t="str">
        <x:v>https://aether.co.in/about-us/</x:v>
      </x:c>
    </x:row>
    <x:row r="19">
      <x:c r="A19" s="15" t="str">
        <x:v>Anupam Rasayan</x:v>
      </x:c>
      <x:c r="B19" s="15" t="str">
        <x:v>https://www.anupamrasayan.com</x:v>
      </x:c>
      <x:c r="C19" s="15" t="str">
        <x:v>Surat / Gujarat</x:v>
      </x:c>
      <x:c r="D19" s="15" t="str">
        <x:v>Custom synthesis &amp; specialty chemicals</x:v>
      </x:c>
      <x:c r="E19" s="15" t="str">
        <x:v>Custom synthesis and manufacturing of life-science and specialty chemicals</x:v>
      </x:c>
      <x:c r="F19" s="15" t="str">
        <x:v>Above Rs.500Cr likely / check</x:v>
      </x:c>
      <x:c r="G19" s="15" t="str">
        <x:v>Anand Desai</x:v>
      </x:c>
      <x:c r="H19" s="15" t="str">
        <x:v>Founder / MD</x:v>
      </x:c>
      <x:c r="I19" s="15" t="str">
        <x:v>Promoter-led specialty chemicals entrepreneur</x:v>
      </x:c>
      <x:c r="J19" s="15" t="str">
        <x:v>Strong</x:v>
      </x:c>
      <x:c r="K19" s="15" t="str">
        <x:v>Custom synthesis manufacturer with multiple plants</x:v>
      </x:c>
      <x:c r="L19" s="15" t="str">
        <x:v>Strong</x:v>
      </x:c>
      <x:c r="M19" s="15" t="str">
        <x:v>Gujarat manufacturing base</x:v>
      </x:c>
      <x:c r="N19" s="15" t="str">
        <x:v>Strong</x:v>
      </x:c>
      <x:c r="O19" s="15" t="str">
        <x:v>Complex custom synthesis for global customers</x:v>
      </x:c>
      <x:c r="P19" s="15" t="str">
        <x:v>Strong</x:v>
      </x:c>
      <x:c r="Q19" s="15" t="str">
        <x:v>Founder-promoter with deep sector experience</x:v>
      </x:c>
      <x:c r="R19" s="15" t="str">
        <x:v>Strong</x:v>
      </x:c>
      <x:c r="S19" s="15" t="str">
        <x:v>China+1/global outsourcing tailwinds</x:v>
      </x:c>
      <x:c r="T19" s="15" t="str">
        <x:v>Strong</x:v>
      </x:c>
      <x:c r="U19" s="15" t="str">
        <x:v>Listed company with expansions/customer contracts</x:v>
      </x:c>
      <x:c r="V19" s="15" t="str">
        <x:v>0</x:v>
      </x:c>
      <x:c r="W19" s="15" t="str">
        <x:v>D — Auto-disqualify likely</x:v>
      </x:c>
      <x:c r="X19" s="15" t="str">
        <x:v>Fail / watchlist</x:v>
      </x:c>
      <x:c r="Y19" s="15" t="str">
        <x:v>Good ICP qualitatively but likely too large/current revenue may exceed threshold</x:v>
      </x:c>
      <x:c r="Z19" s="15" t="str">
        <x:v>Useful comparison case: technically strong but likely outgrown DeepThought revenue band</x:v>
      </x:c>
      <x:c r="AA19" s="15" t="str">
        <x:v>https://www.anupamrasayan.com; https://beststartup.in/91-gujarat-based-chemical-companies-the-most-innovative-chemical-companies/</x:v>
      </x:c>
    </x:row>
    <x:row r="20">
      <x:c r="A20" s="15" t="str">
        <x:v>Meghmani Finechem</x:v>
      </x:c>
      <x:c r="B20" s="15" t="str">
        <x:v>https://www.meghmanifinechem.com</x:v>
      </x:c>
      <x:c r="C20" s="15" t="str">
        <x:v>Ahmedabad / Gujarat</x:v>
      </x:c>
      <x:c r="D20" s="15" t="str">
        <x:v>Performance chemicals</x:v>
      </x:c>
      <x:c r="E20" s="15" t="str">
        <x:v>Chlor-alkali, chloromethanes, hydrogen peroxide and specialty chemical derivatives</x:v>
      </x:c>
      <x:c r="F20" s="15" t="str">
        <x:v>Above Rs.500Cr</x:v>
      </x:c>
      <x:c r="G20" s="15" t="str">
        <x:v>Maulik Patel</x:v>
      </x:c>
      <x:c r="H20" s="15" t="str">
        <x:v>Chairman &amp; MD</x:v>
      </x:c>
      <x:c r="I20" s="15" t="str">
        <x:v>Promoter-led, technical/industrial chemicals leadership</x:v>
      </x:c>
      <x:c r="J20" s="15" t="str">
        <x:v>Strong</x:v>
      </x:c>
      <x:c r="K20" s="15" t="str">
        <x:v>Own large-scale chemical manufacturing facilities</x:v>
      </x:c>
      <x:c r="L20" s="15" t="str">
        <x:v>Strong</x:v>
      </x:c>
      <x:c r="M20" s="15" t="str">
        <x:v>Gujarat operations</x:v>
      </x:c>
      <x:c r="N20" s="15" t="str">
        <x:v>Moderate</x:v>
      </x:c>
      <x:c r="O20" s="15" t="str">
        <x:v>Some specialty derivatives, but base chlor-alkali is more commodity</x:v>
      </x:c>
      <x:c r="P20" s="15" t="str">
        <x:v>Moderate</x:v>
      </x:c>
      <x:c r="Q20" s="15" t="str">
        <x:v>Promoter industrial experience; scientific pedigree not central</x:v>
      </x:c>
      <x:c r="R20" s="15" t="str">
        <x:v>Moderate</x:v>
      </x:c>
      <x:c r="S20" s="15" t="str">
        <x:v>Chemicals demand stable; specialty expansion tailwinds</x:v>
      </x:c>
      <x:c r="T20" s="15" t="str">
        <x:v>Strong</x:v>
      </x:c>
      <x:c r="U20" s="15" t="str">
        <x:v>Public company with active capex/filings</x:v>
      </x:c>
      <x:c r="V20" s="15" t="str">
        <x:v>0</x:v>
      </x:c>
      <x:c r="W20" s="15" t="str">
        <x:v>D — Auto-disqualify</x:v>
      </x:c>
      <x:c r="X20" s="15" t="str">
        <x:v>Fail — revenue/commodity risk</x:v>
      </x:c>
      <x:c r="Y20" s="15" t="str">
        <x:v>Exclude from final target list due to revenue size and commodity exposure</x:v>
      </x:c>
      <x:c r="Z20" s="15" t="str">
        <x:v>Shows why specialty-screening must avoid large chlor-alkali commodity players</x:v>
      </x:c>
      <x:c r="AA20" s="15" t="str">
        <x:v>https://www.meghmanifinechem.com</x:v>
      </x:c>
    </x:row>
    <x:row r="21">
      <x:c r="A21" s="15" t="str">
        <x:v>Khyati Chemicals</x:v>
      </x:c>
      <x:c r="B21" s="15" t="str">
        <x:v>https://www.khyatichemicals.com</x:v>
      </x:c>
      <x:c r="C21" s="15" t="str">
        <x:v>Ahmedabad</x:v>
      </x:c>
      <x:c r="D21" s="15" t="str">
        <x:v>Performance chemicals</x:v>
      </x:c>
      <x:c r="E21" s="15" t="str">
        <x:v>Optical brightening agents and performance chemicals</x:v>
      </x:c>
      <x:c r="F21" s="15" t="str">
        <x:v>Acquired / not independent</x:v>
      </x:c>
      <x:c r="G21" s="15" t="str">
        <x:v>Rajiv Bhandari</x:v>
      </x:c>
      <x:c r="H21" s="15" t="str">
        <x:v>Founder</x:v>
      </x:c>
      <x:c r="I21" s="15" t="str">
        <x:v>Founder-led historically, but acquired by Dorf Ketal</x:v>
      </x:c>
      <x:c r="J21" s="15" t="str">
        <x:v>Strong</x:v>
      </x:c>
      <x:c r="K21" s="15" t="str">
        <x:v>Manufactures optical brightening agents/performance chemicals</x:v>
      </x:c>
      <x:c r="L21" s="15" t="str">
        <x:v>Strong</x:v>
      </x:c>
      <x:c r="M21" s="15" t="str">
        <x:v>Ahmedabad-based business</x:v>
      </x:c>
      <x:c r="N21" s="15" t="str">
        <x:v>Strong</x:v>
      </x:c>
      <x:c r="O21" s="15" t="str">
        <x:v>Optical brighteners are performance specialty chemicals</x:v>
      </x:c>
      <x:c r="P21" s="15" t="str">
        <x:v>Moderate</x:v>
      </x:c>
      <x:c r="Q21" s="15" t="str">
        <x:v>Founder visible historically</x:v>
      </x:c>
      <x:c r="R21" s="15" t="str">
        <x:v>Strong</x:v>
      </x:c>
      <x:c r="S21" s="15" t="str">
        <x:v>Performance chemicals/export tailwinds</x:v>
      </x:c>
      <x:c r="T21" s="15" t="str">
        <x:v>Strong</x:v>
      </x:c>
      <x:c r="U21" s="15" t="str">
        <x:v>Was attractive enough for strategic acquisition</x:v>
      </x:c>
      <x:c r="V21" s="15" t="str">
        <x:v>0</x:v>
      </x:c>
      <x:c r="W21" s="15" t="str">
        <x:v>D — Auto-disqualify</x:v>
      </x:c>
      <x:c r="X21" s="15" t="str">
        <x:v>Fail — acquired</x:v>
      </x:c>
      <x:c r="Y21" s="15" t="str">
        <x:v>Do not include as target because acquired by Dorf Ketal; useful fail example</x:v>
      </x:c>
      <x:c r="Z21" s="15" t="str">
        <x:v>Ahmedabad OBA manufacturer acquired by Dorf Ketal, so promoter dynamic changed</x:v>
      </x:c>
      <x:c r="AA21" s="15" t="str">
        <x:v>https://www.indianchemicalnews.com/chemical/dorf-ketal-acquires-oba-manufacturer-khyati-chemicals-13073</x:v>
      </x:c>
    </x:row>
    <x:row r="22">
      <x:c r="A22" s="15" t="str">
        <x:v>Transpek Industry</x:v>
      </x:c>
      <x:c r="B22" s="15" t="str">
        <x:v>https://transpek.com</x:v>
      </x:c>
      <x:c r="C22" s="15" t="str">
        <x:v>Vadodara</x:v>
      </x:c>
      <x:c r="D22" s="15" t="str">
        <x:v>Custom synthesis &amp; specialty chemicals</x:v>
      </x:c>
      <x:c r="E22" s="15" t="str">
        <x:v>Acid chlorides, thionyl chloride derivatives and specialty chemicals</x:v>
      </x:c>
      <x:c r="F22" s="15" t="str">
        <x:v>Above Rs.500Cr current</x:v>
      </x:c>
      <x:c r="G22" s="15" t="str">
        <x:v>N/A</x:v>
      </x:c>
      <x:c r="H22" s="15" t="str">
        <x:v>Management</x:v>
      </x:c>
      <x:c r="I22" s="15" t="str">
        <x:v>Long-running public specialty chemical company</x:v>
      </x:c>
      <x:c r="J22" s="15" t="str">
        <x:v>Strong</x:v>
      </x:c>
      <x:c r="K22" s="15" t="str">
        <x:v>Manufactures specialty chemicals in Vadodara region</x:v>
      </x:c>
      <x:c r="L22" s="15" t="str">
        <x:v>Strong</x:v>
      </x:c>
      <x:c r="M22" s="15" t="str">
        <x:v>Vadodara/Gujarat base</x:v>
      </x:c>
      <x:c r="N22" s="15" t="str">
        <x:v>Strong</x:v>
      </x:c>
      <x:c r="O22" s="15" t="str">
        <x:v>Complex acid chloride chemistry and export products</x:v>
      </x:c>
      <x:c r="P22" s="15" t="str">
        <x:v>Moderate</x:v>
      </x:c>
      <x:c r="Q22" s="15" t="str">
        <x:v>Technical leadership exists but promoter decision-maker not clear</x:v>
      </x:c>
      <x:c r="R22" s="15" t="str">
        <x:v>Strong</x:v>
      </x:c>
      <x:c r="S22" s="15" t="str">
        <x:v>Specialty chemicals export/China+1 tailwinds</x:v>
      </x:c>
      <x:c r="T22" s="15" t="str">
        <x:v>Strong</x:v>
      </x:c>
      <x:c r="U22" s="15" t="str">
        <x:v>Investor presentation shows growth and new complex products</x:v>
      </x:c>
      <x:c r="V22" s="15" t="str">
        <x:v>0</x:v>
      </x:c>
      <x:c r="W22" s="15" t="str">
        <x:v>D — Auto-disqualify</x:v>
      </x:c>
      <x:c r="X22" s="15" t="str">
        <x:v>Fail — revenue too high</x:v>
      </x:c>
      <x:c r="Y22" s="15" t="str">
        <x:v>Excellent chemical capability but current revenue appears above Rs.500Cr, so exclude</x:v>
      </x:c>
      <x:c r="Z22" s="15" t="str">
        <x:v>Investor presentation showed nine-month revenue already Rs.505.6Cr in FY25 period</x:v>
      </x:c>
      <x:c r="AA22" s="15" t="str">
        <x:v>https://transpek.com/wp-content/uploads/2025/02/Investor-Presentation-February-2025.pdf</x:v>
      </x:c>
    </x:row>
    <x:row r="23">
      <x:c r="A23" s="15" t="str">
        <x:v>Silox India</x:v>
      </x:c>
      <x:c r="B23" s="15" t="str">
        <x:v>https://www.silox-india.com</x:v>
      </x:c>
      <x:c r="C23" s="15" t="str">
        <x:v>Vadodara</x:v>
      </x:c>
      <x:c r="D23" s="15" t="str">
        <x:v>Performance chemicals</x:v>
      </x:c>
      <x:c r="E23" s="15" t="str">
        <x:v>Zinc oxide and specialty inorganic chemicals</x:v>
      </x:c>
      <x:c r="F23" s="15" t="str">
        <x:v>Above Rs.500Cr</x:v>
      </x:c>
      <x:c r="G23" s="15" t="str">
        <x:v>N/A</x:v>
      </x:c>
      <x:c r="H23" s="15" t="str">
        <x:v>Management</x:v>
      </x:c>
      <x:c r="I23" s="15" t="str">
        <x:v>Established manufacturing leadership</x:v>
      </x:c>
      <x:c r="J23" s="15" t="str">
        <x:v>Strong</x:v>
      </x:c>
      <x:c r="K23" s="15" t="str">
        <x:v>Manufacturing company with global export presence</x:v>
      </x:c>
      <x:c r="L23" s="15" t="str">
        <x:v>Strong</x:v>
      </x:c>
      <x:c r="M23" s="15" t="str">
        <x:v>Vadodara, India</x:v>
      </x:c>
      <x:c r="N23" s="15" t="str">
        <x:v>Moderate</x:v>
      </x:c>
      <x:c r="O23" s="15" t="str">
        <x:v>Some specialty grades but product base includes commodity inorganic chemicals</x:v>
      </x:c>
      <x:c r="P23" s="15" t="str">
        <x:v>Moderate</x:v>
      </x:c>
      <x:c r="Q23" s="15" t="str">
        <x:v>Technical team likely, but named technical DM not found</x:v>
      </x:c>
      <x:c r="R23" s="15" t="str">
        <x:v>Moderate</x:v>
      </x:c>
      <x:c r="S23" s="15" t="str">
        <x:v>Inorganic specialty chemicals stable</x:v>
      </x:c>
      <x:c r="T23" s="15" t="str">
        <x:v>Strong</x:v>
      </x:c>
      <x:c r="U23" s="15" t="str">
        <x:v>Exports to 65+ countries; revenue about INR 1000Cr reported</x:v>
      </x:c>
      <x:c r="V23" s="15" t="str">
        <x:v>0</x:v>
      </x:c>
      <x:c r="W23" s="15" t="str">
        <x:v>D — Auto-disqualify</x:v>
      </x:c>
      <x:c r="X23" s="15" t="str">
        <x:v>Fail — revenue too high</x:v>
      </x:c>
      <x:c r="Y23" s="15" t="str">
        <x:v>Exclude: strong manufacturer but too large for Rs.50-500Cr ICP</x:v>
      </x:c>
      <x:c r="Z23" s="15" t="str">
        <x:v>Annual revenue about INR 1000Cr and exports to 65+ countries</x:v>
      </x:c>
      <x:c r="AA23" s="15" t="str">
        <x:v>https://www.silox-india.com/en/company-profile</x:v>
      </x:c>
    </x:row>
    <x:row r="24">
      <x:c r="A24" s="15" t="str">
        <x:v>Neogen Chemicals</x:v>
      </x:c>
      <x:c r="B24" s="15" t="str">
        <x:v>https://neogenchem.com</x:v>
      </x:c>
      <x:c r="C24" s="15" t="str">
        <x:v>Vadodara / Gujarat</x:v>
      </x:c>
      <x:c r="D24" s="15" t="str">
        <x:v>Custom synthesis &amp; specialty chemicals</x:v>
      </x:c>
      <x:c r="E24" s="15" t="str">
        <x:v>Bromine-based and lithium-based specialty chemicals</x:v>
      </x:c>
      <x:c r="F24" s="15" t="str">
        <x:v>Above Rs.500Cr / high capex</x:v>
      </x:c>
      <x:c r="G24" s="15" t="str">
        <x:v>Haridas Kanani family / management</x:v>
      </x:c>
      <x:c r="H24" s="15" t="str">
        <x:v>Promoter management</x:v>
      </x:c>
      <x:c r="I24" s="15" t="str">
        <x:v>Promoter-led public specialty chemical company</x:v>
      </x:c>
      <x:c r="J24" s="15" t="str">
        <x:v>Strong</x:v>
      </x:c>
      <x:c r="K24" s="15" t="str">
        <x:v>Manufactures organic/inorganic specialty chemicals</x:v>
      </x:c>
      <x:c r="L24" s="15" t="str">
        <x:v>Strong</x:v>
      </x:c>
      <x:c r="M24" s="15" t="str">
        <x:v>Gujarat operations including Vadodara/Dahej</x:v>
      </x:c>
      <x:c r="N24" s="15" t="str">
        <x:v>Strong</x:v>
      </x:c>
      <x:c r="O24" s="15" t="str">
        <x:v>Bromine/lithium chemistry, electronic chemicals and battery material capability</x:v>
      </x:c>
      <x:c r="P24" s="15" t="str">
        <x:v>Strong</x:v>
      </x:c>
      <x:c r="Q24" s="15" t="str">
        <x:v>Promoter/technical management; public listed leadership</x:v>
      </x:c>
      <x:c r="R24" s="15" t="str">
        <x:v>Strong</x:v>
      </x:c>
      <x:c r="S24" s="15" t="str">
        <x:v>Battery chemicals, semiconductors and specialty chemicals tailwinds</x:v>
      </x:c>
      <x:c r="T24" s="15" t="str">
        <x:v>Strong</x:v>
      </x:c>
      <x:c r="U24" s="15" t="str">
        <x:v>Large FY24-FY26 capex pipeline and capacity expansion</x:v>
      </x:c>
      <x:c r="V24" s="15" t="str">
        <x:v>0</x:v>
      </x:c>
      <x:c r="W24" s="15" t="str">
        <x:v>D — Auto-disqualify likely</x:v>
      </x:c>
      <x:c r="X24" s="15" t="str">
        <x:v>Fail / watchlist</x:v>
      </x:c>
      <x:c r="Y24" s="15" t="str">
        <x:v>Strategically excellent but likely outside revenue band due current/near-term scale</x:v>
      </x:c>
      <x:c r="Z24" s="15" t="str">
        <x:v>Major bromine/lithium specialty chemicals capacity expansion with large capex pipeline</x:v>
      </x:c>
      <x:c r="AA24" s="15" t="str">
        <x:v>https://neogenchem.com/wp-content/uploads/EP-q3.pdf</x:v>
      </x:c>
    </x:row>
    <x:row r="25">
      <x:c r="A25" s="15" t="str">
        <x:v>Deepak Novochem Technologies</x:v>
      </x:c>
      <x:c r="B25" s="15" t="str">
        <x:v>https://www.godeepak.com</x:v>
      </x:c>
      <x:c r="C25" s="15" t="str">
        <x:v>Vadodara</x:v>
      </x:c>
      <x:c r="D25" s="15" t="str">
        <x:v>Custom synthesis &amp; specialty chemicals</x:v>
      </x:c>
      <x:c r="E25" s="15" t="str">
        <x:v>Phenol/acetone downstream and specialty chemical technologies under Deepak Group</x:v>
      </x:c>
      <x:c r="F25" s="15" t="str">
        <x:v>Large group subsidiary</x:v>
      </x:c>
      <x:c r="G25" s="15" t="str">
        <x:v>Deepak Mehta / Ajay Mehta</x:v>
      </x:c>
      <x:c r="H25" s="15" t="str">
        <x:v>Director / MD</x:v>
      </x:c>
      <x:c r="I25" s="15" t="str">
        <x:v>Deepak Group professional/promoter leadership</x:v>
      </x:c>
      <x:c r="J25" s="15" t="str">
        <x:v>Strong</x:v>
      </x:c>
      <x:c r="K25" s="15" t="str">
        <x:v>Chemical manufacturing/technology company</x:v>
      </x:c>
      <x:c r="L25" s="15" t="str">
        <x:v>Strong</x:v>
      </x:c>
      <x:c r="M25" s="15" t="str">
        <x:v>Vadodara/Gujarat operations</x:v>
      </x:c>
      <x:c r="N25" s="15" t="str">
        <x:v>Strong</x:v>
      </x:c>
      <x:c r="O25" s="15" t="str">
        <x:v>Specialty chemical technology and downstream chemistry</x:v>
      </x:c>
      <x:c r="P25" s="15" t="str">
        <x:v>Moderate</x:v>
      </x:c>
      <x:c r="Q25" s="15" t="str">
        <x:v>Technical leadership present but group company structure dominates</x:v>
      </x:c>
      <x:c r="R25" s="15" t="str">
        <x:v>Strong</x:v>
      </x:c>
      <x:c r="S25" s="15" t="str">
        <x:v>Indian specialty chemicals and import substitution tailwinds</x:v>
      </x:c>
      <x:c r="T25" s="15" t="str">
        <x:v>Strong</x:v>
      </x:c>
      <x:c r="U25" s="15" t="str">
        <x:v>Deepak Group capex/investment plans visible</x:v>
      </x:c>
      <x:c r="V25" s="15" t="str">
        <x:v>0</x:v>
      </x:c>
      <x:c r="W25" s="15" t="str">
        <x:v>D — Auto-disqualify</x:v>
      </x:c>
      <x:c r="X25" s="15" t="str">
        <x:v>Fail — large group subsidiary</x:v>
      </x:c>
      <x:c r="Y25" s="15" t="str">
        <x:v>Exclude because subsidiary/group company dynamics do not fit independent MSME Federer profile</x:v>
      </x:c>
      <x:c r="Z25" s="15" t="str">
        <x:v>Deepak Group plans ₹12,000Cr investment; too large/group-led for MSME ICP</x:v>
      </x:c>
      <x:c r="AA25" s="15" t="str">
        <x:v>https://www.zaubacorp.com/DEEPAK-NOVOCHEM-TECHNOLOGIES-LIMITED-U24100GJ2007PLC101165; https://www.godeepak.com/deepak-chem-tech-overview/</x:v>
      </x:c>
    </x:row>
    <x:row r="26">
      <x:c r="A26" s="15" t="str">
        <x:v>Jubilant Agri &amp; Consumer Products - Savli unit</x:v>
      </x:c>
      <x:c r="B26" s="15" t="str">
        <x:v>https://www.jubilantindustries.com</x:v>
      </x:c>
      <x:c r="C26" s="15" t="str">
        <x:v>Savli, near Vadodara</x:v>
      </x:c>
      <x:c r="D26" s="15" t="str">
        <x:v>Performance chemicals</x:v>
      </x:c>
      <x:c r="E26" s="15" t="str">
        <x:v>Industrial polymers, latexes and adhesives</x:v>
      </x:c>
      <x:c r="F26" s="15" t="str">
        <x:v>Large group subsidiary</x:v>
      </x:c>
      <x:c r="G26" s="15" t="str">
        <x:v>Mohan Deep Singh</x:v>
      </x:c>
      <x:c r="H26" s="15" t="str">
        <x:v>CEO &amp; Whole-time Director</x:v>
      </x:c>
      <x:c r="I26" s="15" t="str">
        <x:v>Professional CEO; part of Jubilant Bhartia Group</x:v>
      </x:c>
      <x:c r="J26" s="15" t="str">
        <x:v>Strong</x:v>
      </x:c>
      <x:c r="K26" s="15" t="str">
        <x:v>Manufactures latex/industrial polymer products</x:v>
      </x:c>
      <x:c r="L26" s="15" t="str">
        <x:v>Strong</x:v>
      </x:c>
      <x:c r="M26" s="15" t="str">
        <x:v>Savli near Vadodara manufacturing plant</x:v>
      </x:c>
      <x:c r="N26" s="15" t="str">
        <x:v>Moderate</x:v>
      </x:c>
      <x:c r="O26" s="15" t="str">
        <x:v>Performance polymers/adhesives are specialty but group line includes broader products</x:v>
      </x:c>
      <x:c r="P26" s="15" t="str">
        <x:v>Moderate</x:v>
      </x:c>
      <x:c r="Q26" s="15" t="str">
        <x:v>Professional management, not independent technical promoter</x:v>
      </x:c>
      <x:c r="R26" s="15" t="str">
        <x:v>Strong</x:v>
      </x:c>
      <x:c r="S26" s="15" t="str">
        <x:v>Performance polymers and adhesives demand in western India</x:v>
      </x:c>
      <x:c r="T26" s="15" t="str">
        <x:v>Strong</x:v>
      </x:c>
      <x:c r="U26" s="15" t="str">
        <x:v>Announced Rs.50Cr new Savli industrial polymer facility in Nov 2025</x:v>
      </x:c>
      <x:c r="V26" s="15" t="str">
        <x:v>0</x:v>
      </x:c>
      <x:c r="W26" s="15" t="str">
        <x:v>D — Auto-disqualify</x:v>
      </x:c>
      <x:c r="X26" s="15" t="str">
        <x:v>Fail — group subsidiary</x:v>
      </x:c>
      <x:c r="Y26" s="15" t="str">
        <x:v>Exclude because it is part of large Jubilant Bhartia Group, not independent MSME promoter-driven</x:v>
      </x:c>
      <x:c r="Z26" s="15" t="str">
        <x:v>Rs.50Cr Savli expansion is a good growth signal, but ownership structure disqualifies it</x:v>
      </x:c>
      <x:c r="AA26" s="15" t="str">
        <x:v>https://timesofindia.indiatimes.com/city/ahmedabad/jubilant-to-set-up-rs-50-crore-industrial-polymer-unit-at-savli/articleshow/125115221.cms</x:v>
      </x:c>
    </x:row>
    <x:row r="27">
      <x:c r="A27" s="15" t="str">
        <x:v>PolyProtic</x:v>
      </x:c>
      <x:c r="B27" s="15" t="str">
        <x:v>https://www.linkedin.com/company/polyprotic</x:v>
      </x:c>
      <x:c r="C27" s="15" t="str">
        <x:v>Ahmedabad / Gujarat</x:v>
      </x:c>
      <x:c r="D27" s="15" t="str">
        <x:v>Custom synthesis &amp; specialty chemicals</x:v>
      </x:c>
      <x:c r="E27" s="15" t="str">
        <x:v>Specialty chemicals startup; collaborative R&amp;D and manufacturing positioning</x:v>
      </x:c>
      <x:c r="F27" s="15" t="str">
        <x:v>Unknown / early</x:v>
      </x:c>
      <x:c r="G27" s="15" t="str">
        <x:v>Yuvrajsinh Parmar</x:v>
      </x:c>
      <x:c r="H27" s="15" t="str">
        <x:v>Founder</x:v>
      </x:c>
      <x:c r="I27" s="15" t="str">
        <x:v>Founder building PolyProtic; technical background not fully public</x:v>
      </x:c>
      <x:c r="J27" s="15" t="str">
        <x:v>Moderate</x:v>
      </x:c>
      <x:c r="K27" s="15" t="str">
        <x:v>Specialty chemical positioning but plant/manufacturing proof insufficient</x:v>
      </x:c>
      <x:c r="L27" s="15" t="str">
        <x:v>Strong</x:v>
      </x:c>
      <x:c r="M27" s="15" t="str">
        <x:v>Gujarat-based profile</x:v>
      </x:c>
      <x:c r="N27" s="15" t="str">
        <x:v>Moderate</x:v>
      </x:c>
      <x:c r="O27" s="15" t="str">
        <x:v>R&amp;D/collaboration positioning suggests technical niche</x:v>
      </x:c>
      <x:c r="P27" s="15" t="str">
        <x:v>Moderate</x:v>
      </x:c>
      <x:c r="Q27" s="15" t="str">
        <x:v>Founder-led; credentials require validation</x:v>
      </x:c>
      <x:c r="R27" s="15" t="str">
        <x:v>Strong</x:v>
      </x:c>
      <x:c r="S27" s="15" t="str">
        <x:v>Specialty chemicals startup benefits from innovation and supply-chain tailwinds</x:v>
      </x:c>
      <x:c r="T27" s="15" t="str">
        <x:v>Moderate</x:v>
      </x:c>
      <x:c r="U27" s="15" t="str">
        <x:v>Active LinkedIn presence and investor/support language</x:v>
      </x:c>
      <x:c r="V27" s="15" t="str">
        <x:v>55</x:v>
      </x:c>
      <x:c r="W27" s="15" t="str">
        <x:v>C — Borderline</x:v>
      </x:c>
      <x:c r="X27" s="15" t="str">
        <x:v>Research further</x:v>
      </x:c>
      <x:c r="Y27" s="15" t="str">
        <x:v>Promising but too little evidence for final target list without plant/revenue proof</x:v>
      </x:c>
      <x:c r="Z27" s="15" t="str">
        <x:v>Specialty-chemicals startup inviting collaborations with industry and research institutions</x:v>
      </x:c>
      <x:c r="AA27" s="15" t="str">
        <x:v>https://in.linkedin.com/company/polyprotic</x:v>
      </x:c>
    </x:row>
  </x:sheetData>
  <x:conditionalFormatting sqref="V2:V27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f9317b58d0346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>
      <x:c r="A1" s="24" t="str">
        <x:v>Assignment</x:v>
      </x:c>
      <x:c r="B1" s="4" t="str">
        <x:v>DeepThought Business Analytics — Target Company Research</x:v>
      </x:c>
    </x:row>
    <x:row r="2">
      <x:c r="A2" s="25" t="str">
        <x:v>Chosen cluster</x:v>
      </x:c>
      <x:c r="B2" s="12" t="str">
        <x:v>Vadodara + Ahmedabad specialty-chemicals corridor, with a few Gujarat-cluster comparables/fails clearly marked</x:v>
      </x:c>
    </x:row>
    <x:row r="3">
      <x:c r="A3" s="25" t="str">
        <x:v>Primary segments</x:v>
      </x:c>
      <x:c r="B3" s="12" t="str">
        <x:v>Custom synthesis &amp; specialty chemicals; Performance chemicals</x:v>
      </x:c>
    </x:row>
    <x:row r="4">
      <x:c r="A4" s="25" t="str">
        <x:v>Rows</x:v>
      </x:c>
      <x:c r="B4" s="12" t="str">
        <x:v>25 companies/leads including pass, borderline and auto-disqualify examples</x:v>
      </x:c>
    </x:row>
    <x:row r="5">
      <x:c r="A5" s="25" t="str">
        <x:v>Important caveat</x:v>
      </x:c>
      <x:c r="B5" s="12" t="str">
        <x:v>Open-source first pass. Before final submission, manually verify revenue band, ownership/control and decision-maker details for every company.</x:v>
      </x:c>
    </x:row>
    <x:row r="6">
      <x:c r="A6" s="25" t="str">
        <x:v>Strong A/B targets count</x:v>
      </x:c>
      <x:c r="B6" s="12" t="n">
        <x:f>COUNTIF('Target Companies'!W2:W26,"A*")+COUNTIF('Target Companies'!W2:W26,"B*")</x:f>
        <x:v>0</x:v>
      </x:c>
    </x:row>
    <x:row r="7">
      <x:c r="A7" s="25" t="str">
        <x:v>Auto-disqualified/fail rows</x:v>
      </x:c>
      <x:c r="B7" s="12" t="n">
        <x:f>COUNTIF('Target Companies'!W2:W26,"D*")</x:f>
        <x:v>0</x:v>
      </x:c>
    </x:row>
    <x:row r="8">
      <x:c r="A8" s="25" t="str">
        <x:v>Borderline rows</x:v>
      </x:c>
      <x:c r="B8" s="12" t="n">
        <x:f>COUNTIF('Target Companies'!W2:W26,"C*")</x:f>
        <x:v>0</x:v>
      </x:c>
    </x:row>
  </x:sheetData>
  <x:pageMargins left="0.7" right="0.7" top="0.75" bottom="0.75" header="0.3" footer="0.3"/>
</x:worksheet>
</file>